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03ba183db14d845/Cursos/Bootcamp Santander - Excel com Inteligência Artificial/"/>
    </mc:Choice>
  </mc:AlternateContent>
  <xr:revisionPtr revIDLastSave="610" documentId="8_{CEAE5B7E-C13E-4338-AACE-AC5E83AF09C6}" xr6:coauthVersionLast="47" xr6:coauthVersionMax="47" xr10:uidLastSave="{BD51C828-EC65-4CE1-B47D-BA3879654765}"/>
  <bookViews>
    <workbookView xWindow="-108" yWindow="-108" windowWidth="23256" windowHeight="12456" tabRatio="0" xr2:uid="{483C08B3-EF63-4514-89F2-C2CDDD888BDA}"/>
  </bookViews>
  <sheets>
    <sheet name="Planilha1" sheetId="1" r:id="rId1"/>
    <sheet name="Planilha2" sheetId="2" r:id="rId2"/>
  </sheets>
  <definedNames>
    <definedName name="Aporte">Planilha1!$D$15</definedName>
    <definedName name="patrimonio">Planilha1!$D$18</definedName>
    <definedName name="qtd_anos">Planilha1!$D$16</definedName>
    <definedName name="Rendimento_Carteira">Planilha1!$D$10</definedName>
    <definedName name="salario">Planilha1!$B$9:$D$9</definedName>
    <definedName name="tx_mensal">Planilha1!$D$17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34" i="1"/>
  <c r="A9" i="2"/>
  <c r="A10" i="2"/>
  <c r="A11" i="2"/>
  <c r="A12" i="2"/>
  <c r="A13" i="2"/>
  <c r="A14" i="2"/>
  <c r="A15" i="2"/>
  <c r="A16" i="2"/>
  <c r="A17" i="2"/>
  <c r="A18" i="2"/>
  <c r="A19" i="2"/>
  <c r="A20" i="2"/>
  <c r="A4" i="2"/>
  <c r="A5" i="2"/>
  <c r="A6" i="2"/>
  <c r="A7" i="2"/>
  <c r="A8" i="2"/>
  <c r="A3" i="2"/>
  <c r="C31" i="1"/>
  <c r="D11" i="1"/>
  <c r="D17" i="1"/>
  <c r="C27" i="1" s="1"/>
  <c r="D27" i="1" s="1"/>
  <c r="D35" i="1" l="1"/>
  <c r="D34" i="1"/>
  <c r="D36" i="1"/>
  <c r="D38" i="1"/>
  <c r="D39" i="1"/>
  <c r="D37" i="1"/>
  <c r="D18" i="1"/>
  <c r="D19" i="1" s="1"/>
  <c r="C23" i="1"/>
  <c r="D23" i="1" s="1"/>
  <c r="C26" i="1"/>
  <c r="D26" i="1" s="1"/>
  <c r="C25" i="1"/>
  <c r="D25" i="1" s="1"/>
  <c r="C24" i="1"/>
  <c r="D24" i="1" s="1"/>
  <c r="D40" i="1" l="1"/>
</calcChain>
</file>

<file path=xl/sharedStrings.xml><?xml version="1.0" encoding="utf-8"?>
<sst xmlns="http://schemas.openxmlformats.org/spreadsheetml/2006/main" count="70" uniqueCount="35">
  <si>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</si>
  <si>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</si>
  <si>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</si>
  <si>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</si>
  <si>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</si>
  <si>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</si>
  <si>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</si>
  <si>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</si>
  <si>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</si>
  <si>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</si>
  <si>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</si>
  <si>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Cenários</t>
  </si>
  <si>
    <t>Dividendo</t>
  </si>
  <si>
    <t>Salário</t>
  </si>
  <si>
    <t>Rendimento Carteira</t>
  </si>
  <si>
    <t>Sugestão de Investimento</t>
  </si>
  <si>
    <t>CONFIGURAÇÕES</t>
  </si>
  <si>
    <t>Agressivo</t>
  </si>
  <si>
    <t>VALOR A SER INVESTIDO NO MÊS</t>
  </si>
  <si>
    <t>PERFIL</t>
  </si>
  <si>
    <t>TIPO DE FII</t>
  </si>
  <si>
    <t>Percentual Sugerido</t>
  </si>
  <si>
    <t>Valor</t>
  </si>
  <si>
    <t>FOF'S</t>
  </si>
  <si>
    <t>DESENVOLVIMENTO</t>
  </si>
  <si>
    <t>HOTELARIAS</t>
  </si>
  <si>
    <t>HIBRIDOS</t>
  </si>
  <si>
    <t>TIJOLOS</t>
  </si>
  <si>
    <t>PAPEL</t>
  </si>
  <si>
    <t>TOTAL</t>
  </si>
  <si>
    <t>TIPOS DE FII</t>
  </si>
  <si>
    <t>Conservador</t>
  </si>
  <si>
    <t>CHAVE</t>
  </si>
  <si>
    <t>Moderado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</si>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</sst>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5" formatCode="0.000%"/>
    <numFmt numFmtId="171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.5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theme="0" tint="-0.499984740745262"/>
      </right>
      <top style="medium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indexed="64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indexed="64"/>
      </right>
      <top style="medium">
        <color indexed="64"/>
      </top>
      <bottom style="medium">
        <color theme="0" tint="-0.499984740745262"/>
      </bottom>
      <diagonal/>
    </border>
    <border>
      <left style="medium">
        <color indexed="64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medium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indexed="64"/>
      </left>
      <right style="medium">
        <color theme="0" tint="-0.499984740745262"/>
      </right>
      <top style="medium">
        <color theme="0" tint="-0.499984740745262"/>
      </top>
      <bottom style="medium">
        <color indexed="64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indexed="64"/>
      </bottom>
      <diagonal/>
    </border>
    <border>
      <left style="medium">
        <color theme="0" tint="-0.499984740745262"/>
      </left>
      <right style="medium">
        <color indexed="64"/>
      </right>
      <top style="medium">
        <color theme="0" tint="-0.499984740745262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4">
    <xf numFmtId="0" fontId="0" fillId="0" borderId="0" xfId="0"/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6" fillId="0" borderId="0" xfId="0" applyFont="1"/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3" borderId="3" xfId="0" applyFont="1" applyFill="1" applyBorder="1" applyAlignment="1">
      <alignment horizontal="left" vertical="center"/>
    </xf>
    <xf numFmtId="0" fontId="4" fillId="0" borderId="0" xfId="0" applyFont="1" applyFill="1"/>
    <xf numFmtId="0" fontId="5" fillId="3" borderId="5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171" fontId="10" fillId="0" borderId="15" xfId="1" applyNumberFormat="1" applyFont="1" applyBorder="1" applyAlignment="1">
      <alignment horizontal="center"/>
    </xf>
    <xf numFmtId="171" fontId="9" fillId="0" borderId="9" xfId="1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165" fontId="9" fillId="0" borderId="12" xfId="0" applyNumberFormat="1" applyFont="1" applyBorder="1" applyAlignment="1">
      <alignment horizontal="center" vertical="center"/>
    </xf>
    <xf numFmtId="171" fontId="9" fillId="4" borderId="12" xfId="1" applyNumberFormat="1" applyFont="1" applyFill="1" applyBorder="1" applyAlignment="1">
      <alignment horizontal="center" vertical="center"/>
    </xf>
    <xf numFmtId="171" fontId="9" fillId="4" borderId="15" xfId="0" applyNumberFormat="1" applyFont="1" applyFill="1" applyBorder="1" applyAlignment="1">
      <alignment horizontal="center" vertical="center"/>
    </xf>
    <xf numFmtId="171" fontId="9" fillId="4" borderId="8" xfId="1" applyNumberFormat="1" applyFont="1" applyFill="1" applyBorder="1" applyAlignment="1">
      <alignment horizontal="center" vertical="center"/>
    </xf>
    <xf numFmtId="171" fontId="9" fillId="4" borderId="9" xfId="1" applyNumberFormat="1" applyFont="1" applyFill="1" applyBorder="1" applyAlignment="1">
      <alignment horizontal="center" vertical="center"/>
    </xf>
    <xf numFmtId="171" fontId="9" fillId="4" borderId="11" xfId="1" applyNumberFormat="1" applyFont="1" applyFill="1" applyBorder="1" applyAlignment="1">
      <alignment horizontal="center" vertical="center"/>
    </xf>
    <xf numFmtId="171" fontId="9" fillId="4" borderId="14" xfId="1" applyNumberFormat="1" applyFont="1" applyFill="1" applyBorder="1" applyAlignment="1">
      <alignment horizontal="center" vertical="center"/>
    </xf>
    <xf numFmtId="171" fontId="9" fillId="4" borderId="15" xfId="1" applyNumberFormat="1" applyFont="1" applyFill="1" applyBorder="1" applyAlignment="1">
      <alignment horizontal="center" vertical="center"/>
    </xf>
    <xf numFmtId="0" fontId="0" fillId="4" borderId="7" xfId="0" applyFill="1" applyBorder="1" applyAlignment="1">
      <alignment horizontal="left" indent="2"/>
    </xf>
    <xf numFmtId="0" fontId="0" fillId="4" borderId="10" xfId="0" applyFill="1" applyBorder="1" applyAlignment="1">
      <alignment horizontal="left" indent="2"/>
    </xf>
    <xf numFmtId="0" fontId="0" fillId="4" borderId="13" xfId="0" applyFill="1" applyBorder="1" applyAlignment="1">
      <alignment horizontal="left" indent="2"/>
    </xf>
    <xf numFmtId="0" fontId="0" fillId="0" borderId="0" xfId="0" applyAlignment="1">
      <alignment horizontal="left" indent="8"/>
    </xf>
    <xf numFmtId="0" fontId="6" fillId="0" borderId="7" xfId="0" applyFont="1" applyBorder="1" applyAlignment="1">
      <alignment horizontal="left" indent="2"/>
    </xf>
    <xf numFmtId="0" fontId="6" fillId="0" borderId="8" xfId="0" applyFont="1" applyBorder="1" applyAlignment="1">
      <alignment horizontal="left" indent="2"/>
    </xf>
    <xf numFmtId="0" fontId="6" fillId="0" borderId="10" xfId="0" applyFont="1" applyBorder="1" applyAlignment="1">
      <alignment horizontal="left" indent="2"/>
    </xf>
    <xf numFmtId="0" fontId="6" fillId="0" borderId="11" xfId="0" applyFont="1" applyBorder="1" applyAlignment="1">
      <alignment horizontal="left" indent="2"/>
    </xf>
    <xf numFmtId="0" fontId="7" fillId="4" borderId="10" xfId="0" applyFont="1" applyFill="1" applyBorder="1" applyAlignment="1">
      <alignment horizontal="left" indent="2"/>
    </xf>
    <xf numFmtId="0" fontId="7" fillId="4" borderId="11" xfId="0" applyFont="1" applyFill="1" applyBorder="1" applyAlignment="1">
      <alignment horizontal="left" indent="2"/>
    </xf>
    <xf numFmtId="0" fontId="7" fillId="4" borderId="13" xfId="0" applyFont="1" applyFill="1" applyBorder="1" applyAlignment="1">
      <alignment horizontal="left" indent="2"/>
    </xf>
    <xf numFmtId="0" fontId="7" fillId="4" borderId="14" xfId="0" applyFont="1" applyFill="1" applyBorder="1" applyAlignment="1">
      <alignment horizontal="left" indent="2"/>
    </xf>
    <xf numFmtId="0" fontId="10" fillId="4" borderId="7" xfId="0" applyFont="1" applyFill="1" applyBorder="1" applyAlignment="1">
      <alignment horizontal="left" indent="2"/>
    </xf>
    <xf numFmtId="0" fontId="10" fillId="4" borderId="8" xfId="0" applyFont="1" applyFill="1" applyBorder="1" applyAlignment="1">
      <alignment horizontal="left" indent="2"/>
    </xf>
    <xf numFmtId="0" fontId="10" fillId="4" borderId="10" xfId="0" applyFont="1" applyFill="1" applyBorder="1" applyAlignment="1">
      <alignment horizontal="left" indent="2"/>
    </xf>
    <xf numFmtId="0" fontId="10" fillId="4" borderId="11" xfId="0" applyFont="1" applyFill="1" applyBorder="1" applyAlignment="1">
      <alignment horizontal="left" indent="2"/>
    </xf>
    <xf numFmtId="0" fontId="10" fillId="4" borderId="13" xfId="0" applyFont="1" applyFill="1" applyBorder="1" applyAlignment="1">
      <alignment horizontal="left" indent="2"/>
    </xf>
    <xf numFmtId="0" fontId="10" fillId="4" borderId="14" xfId="0" applyFont="1" applyFill="1" applyBorder="1" applyAlignment="1">
      <alignment horizontal="left" indent="2"/>
    </xf>
    <xf numFmtId="0" fontId="10" fillId="0" borderId="0" xfId="0" applyFont="1" applyAlignment="1">
      <alignment horizontal="left" indent="8"/>
    </xf>
    <xf numFmtId="9" fontId="8" fillId="0" borderId="0" xfId="2" applyFont="1" applyAlignment="1">
      <alignment horizontal="center" vertical="center"/>
    </xf>
    <xf numFmtId="171" fontId="10" fillId="0" borderId="0" xfId="0" applyNumberFormat="1" applyFont="1"/>
    <xf numFmtId="0" fontId="8" fillId="4" borderId="16" xfId="0" applyFont="1" applyFill="1" applyBorder="1" applyAlignment="1"/>
    <xf numFmtId="171" fontId="9" fillId="4" borderId="17" xfId="1" applyNumberFormat="1" applyFont="1" applyFill="1" applyBorder="1" applyAlignment="1">
      <alignment horizontal="center" vertical="center"/>
    </xf>
    <xf numFmtId="171" fontId="9" fillId="4" borderId="18" xfId="1" applyNumberFormat="1" applyFont="1" applyFill="1" applyBorder="1" applyAlignment="1">
      <alignment horizontal="center" vertical="center"/>
    </xf>
    <xf numFmtId="0" fontId="2" fillId="2" borderId="1" xfId="3" applyBorder="1" applyAlignment="1">
      <alignment horizontal="left" indent="8"/>
    </xf>
    <xf numFmtId="0" fontId="0" fillId="6" borderId="0" xfId="0" applyFill="1" applyAlignment="1">
      <alignment horizontal="left" indent="8"/>
    </xf>
    <xf numFmtId="0" fontId="9" fillId="6" borderId="0" xfId="0" applyFont="1" applyFill="1" applyAlignment="1">
      <alignment horizontal="center" vertical="center"/>
    </xf>
    <xf numFmtId="171" fontId="0" fillId="6" borderId="0" xfId="0" applyNumberFormat="1" applyFill="1"/>
    <xf numFmtId="0" fontId="3" fillId="6" borderId="0" xfId="0" applyFont="1" applyFill="1" applyAlignment="1">
      <alignment horizontal="center"/>
    </xf>
    <xf numFmtId="0" fontId="0" fillId="0" borderId="0" xfId="0" applyBorder="1"/>
    <xf numFmtId="0" fontId="0" fillId="0" borderId="19" xfId="0" applyBorder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9" xfId="0" applyBorder="1" applyAlignment="1">
      <alignment horizontal="center"/>
    </xf>
    <xf numFmtId="9" fontId="0" fillId="0" borderId="19" xfId="0" applyNumberFormat="1" applyBorder="1" applyAlignment="1">
      <alignment horizontal="center"/>
    </xf>
    <xf numFmtId="171" fontId="10" fillId="0" borderId="9" xfId="1" applyNumberFormat="1" applyFont="1" applyBorder="1" applyAlignment="1" applyProtection="1">
      <alignment horizontal="center"/>
      <protection locked="0"/>
    </xf>
    <xf numFmtId="165" fontId="10" fillId="0" borderId="12" xfId="0" applyNumberFormat="1" applyFont="1" applyBorder="1" applyAlignment="1" applyProtection="1">
      <alignment horizontal="center"/>
      <protection locked="0"/>
    </xf>
    <xf numFmtId="0" fontId="2" fillId="2" borderId="6" xfId="3" applyBorder="1" applyAlignment="1" applyProtection="1">
      <alignment horizontal="center" vertical="center"/>
      <protection locked="0"/>
    </xf>
    <xf numFmtId="0" fontId="2" fillId="2" borderId="2" xfId="3" applyBorder="1" applyAlignment="1" applyProtection="1">
      <alignment horizontal="center" vertical="center"/>
      <protection locked="0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TIJOLOS</c:v>
                </c:pt>
                <c:pt idx="2">
                  <c:v>HIBRIDOS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7-42CC-97E8-10A910A2164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>
                  <a:shade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shade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9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1">
                  <a:tint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TIJOLOS</c:v>
                </c:pt>
                <c:pt idx="2">
                  <c:v>HIBRIDOS</c:v>
                </c:pt>
                <c:pt idx="3">
                  <c:v>FOF'S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Planilha1!$D$34:$D$39</c:f>
              <c:numCache>
                <c:formatCode>"R$"\ #,##0.00</c:formatCode>
                <c:ptCount val="6"/>
                <c:pt idx="0">
                  <c:v>250</c:v>
                </c:pt>
                <c:pt idx="1">
                  <c:v>50</c:v>
                </c:pt>
                <c:pt idx="2">
                  <c:v>25</c:v>
                </c:pt>
                <c:pt idx="3">
                  <c:v>25</c:v>
                </c:pt>
                <c:pt idx="4">
                  <c:v>100</c:v>
                </c:pt>
                <c:pt idx="5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857-42CC-97E8-10A910A2164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14242</xdr:colOff>
      <xdr:row>0</xdr:row>
      <xdr:rowOff>14242</xdr:rowOff>
    </xdr:from>
    <xdr:to>
      <xdr:col>4</xdr:col>
      <xdr:colOff>769620</xdr:colOff>
      <xdr:row>5</xdr:row>
      <xdr:rowOff>38100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9FF7D20-D643-5945-09B7-D1ABFA202BF5}"/>
            </a:ext>
          </a:extLst>
        </xdr:cNvPr>
        <xdr:cNvSpPr/>
      </xdr:nvSpPr>
      <xdr:spPr>
        <a:xfrm>
          <a:off x="14242" y="14242"/>
          <a:ext cx="5898878" cy="938258"/>
        </a:xfrm>
        <a:prstGeom prst="rect">
          <a:avLst/>
        </a:prstGeom>
        <a:solidFill>
          <a:schemeClr val="accent1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535037</xdr:colOff>
      <xdr:row>1</xdr:row>
      <xdr:rowOff>16593</xdr:rowOff>
    </xdr:from>
    <xdr:to>
      <xdr:col>1</xdr:col>
      <xdr:colOff>435977</xdr:colOff>
      <xdr:row>3</xdr:row>
      <xdr:rowOff>163652</xdr:rowOff>
    </xdr:to>
    <xdr:pic>
      <xdr:nvPicPr>
        <xdr:cNvPr id="17" name="Gráfico 16" descr="Dinheiro estrutura de tópicos">
          <a:extLst>
            <a:ext uri="{FF2B5EF4-FFF2-40B4-BE49-F238E27FC236}">
              <a16:creationId xmlns:a16="http://schemas.microsoft.com/office/drawing/2014/main" id="{2A0FEFD5-7F52-F2D4-4E0D-F513910A3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35037" y="201752"/>
          <a:ext cx="513389" cy="517377"/>
        </a:xfrm>
        <a:prstGeom prst="rect">
          <a:avLst/>
        </a:prstGeom>
      </xdr:spPr>
    </xdr:pic>
    <xdr:clientData/>
  </xdr:twoCellAnchor>
  <xdr:twoCellAnchor>
    <xdr:from>
      <xdr:col>1</xdr:col>
      <xdr:colOff>804728</xdr:colOff>
      <xdr:row>0</xdr:row>
      <xdr:rowOff>88949</xdr:rowOff>
    </xdr:from>
    <xdr:to>
      <xdr:col>4</xdr:col>
      <xdr:colOff>249252</xdr:colOff>
      <xdr:row>4</xdr:row>
      <xdr:rowOff>78337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92CE8B14-1230-56F7-4367-7DF16666BDBA}"/>
            </a:ext>
          </a:extLst>
        </xdr:cNvPr>
        <xdr:cNvSpPr txBox="1"/>
      </xdr:nvSpPr>
      <xdr:spPr>
        <a:xfrm>
          <a:off x="1417177" y="88949"/>
          <a:ext cx="3375589" cy="7300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800" b="1"/>
            <a:t>Investment Fund Performance Simulator</a:t>
          </a:r>
        </a:p>
      </xdr:txBody>
    </xdr:sp>
    <xdr:clientData/>
  </xdr:twoCellAnchor>
  <xdr:twoCellAnchor>
    <xdr:from>
      <xdr:col>1</xdr:col>
      <xdr:colOff>704316</xdr:colOff>
      <xdr:row>1</xdr:row>
      <xdr:rowOff>111308</xdr:rowOff>
    </xdr:from>
    <xdr:to>
      <xdr:col>1</xdr:col>
      <xdr:colOff>704316</xdr:colOff>
      <xdr:row>3</xdr:row>
      <xdr:rowOff>103688</xdr:rowOff>
    </xdr:to>
    <xdr:cxnSp macro="">
      <xdr:nvCxnSpPr>
        <xdr:cNvPr id="20" name="Conector reto 19">
          <a:extLst>
            <a:ext uri="{FF2B5EF4-FFF2-40B4-BE49-F238E27FC236}">
              <a16:creationId xmlns:a16="http://schemas.microsoft.com/office/drawing/2014/main" id="{20628D3B-6BB4-459A-7F91-A49589656215}"/>
            </a:ext>
          </a:extLst>
        </xdr:cNvPr>
        <xdr:cNvCxnSpPr/>
      </xdr:nvCxnSpPr>
      <xdr:spPr>
        <a:xfrm>
          <a:off x="1316765" y="296467"/>
          <a:ext cx="0" cy="362698"/>
        </a:xfrm>
        <a:prstGeom prst="line">
          <a:avLst/>
        </a:prstGeom>
        <a:ln w="28575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595313</xdr:colOff>
      <xdr:row>42</xdr:row>
      <xdr:rowOff>108743</xdr:rowOff>
    </xdr:from>
    <xdr:to>
      <xdr:col>4</xdr:col>
      <xdr:colOff>23813</xdr:colOff>
      <xdr:row>54</xdr:row>
      <xdr:rowOff>39687</xdr:rowOff>
    </xdr:to>
    <xdr:graphicFrame macro="">
      <xdr:nvGraphicFramePr>
        <xdr:cNvPr id="23" name="Gráfico 22">
          <a:extLst>
            <a:ext uri="{FF2B5EF4-FFF2-40B4-BE49-F238E27FC236}">
              <a16:creationId xmlns:a16="http://schemas.microsoft.com/office/drawing/2014/main" id="{27246AD4-0F0E-C613-6CA0-1841C2B057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36CE3-EE1F-48EE-81DC-F2087763A7AC}">
  <dimension ref="A7:F40"/>
  <sheetViews>
    <sheetView showGridLines="0" showRowColHeaders="0" tabSelected="1" topLeftCell="A28" zoomScale="98" zoomScaleNormal="98" workbookViewId="0">
      <selection activeCell="C30" sqref="C30:D30"/>
    </sheetView>
  </sheetViews>
  <sheetFormatPr defaultColWidth="0" defaultRowHeight="14.4" x14ac:dyDescent="0.3"/>
  <cols>
    <col min="1" max="1" width="8.88671875" customWidth="1"/>
    <col min="2" max="2" width="27.44140625" style="28" customWidth="1"/>
    <col min="3" max="3" width="19.21875" style="4" customWidth="1"/>
    <col min="4" max="4" width="19.44140625" customWidth="1"/>
    <col min="5" max="5" width="11.33203125" customWidth="1"/>
    <col min="6" max="6" width="13.44140625" hidden="1" customWidth="1"/>
    <col min="7" max="9" width="8.88671875" hidden="1" customWidth="1"/>
    <col min="10" max="16384" width="8.88671875" hidden="1"/>
  </cols>
  <sheetData>
    <row r="7" spans="2:4" ht="15" thickBot="1" x14ac:dyDescent="0.35"/>
    <row r="8" spans="2:4" ht="16.2" thickBot="1" x14ac:dyDescent="0.35">
      <c r="B8" s="10" t="s">
        <v>16</v>
      </c>
      <c r="C8" s="12"/>
      <c r="D8" s="11"/>
    </row>
    <row r="9" spans="2:4" ht="15" thickBot="1" x14ac:dyDescent="0.35">
      <c r="B9" s="37" t="s">
        <v>13</v>
      </c>
      <c r="C9" s="38"/>
      <c r="D9" s="60">
        <v>3500</v>
      </c>
    </row>
    <row r="10" spans="2:4" ht="15" thickBot="1" x14ac:dyDescent="0.35">
      <c r="B10" s="39" t="s">
        <v>14</v>
      </c>
      <c r="C10" s="40"/>
      <c r="D10" s="61">
        <v>6.0000000000000001E-3</v>
      </c>
    </row>
    <row r="11" spans="2:4" ht="15" thickBot="1" x14ac:dyDescent="0.35">
      <c r="B11" s="41" t="s">
        <v>15</v>
      </c>
      <c r="C11" s="42"/>
      <c r="D11" s="14">
        <f>D9*30%</f>
        <v>1050</v>
      </c>
    </row>
    <row r="12" spans="2:4" x14ac:dyDescent="0.3">
      <c r="B12"/>
      <c r="C12"/>
    </row>
    <row r="13" spans="2:4" ht="15" thickBot="1" x14ac:dyDescent="0.35"/>
    <row r="14" spans="2:4" ht="25.8" customHeight="1" thickBot="1" x14ac:dyDescent="0.35">
      <c r="B14" s="1" t="s">
        <v>5</v>
      </c>
      <c r="C14" s="13"/>
      <c r="D14" s="2"/>
    </row>
    <row r="15" spans="2:4" s="3" customFormat="1" ht="16.2" thickBot="1" x14ac:dyDescent="0.35">
      <c r="B15" s="29" t="s">
        <v>0</v>
      </c>
      <c r="C15" s="30"/>
      <c r="D15" s="15">
        <v>500</v>
      </c>
    </row>
    <row r="16" spans="2:4" s="3" customFormat="1" ht="16.2" thickBot="1" x14ac:dyDescent="0.35">
      <c r="B16" s="31" t="s">
        <v>1</v>
      </c>
      <c r="C16" s="32"/>
      <c r="D16" s="16">
        <v>10</v>
      </c>
    </row>
    <row r="17" spans="1:4" s="3" customFormat="1" ht="16.2" thickBot="1" x14ac:dyDescent="0.35">
      <c r="B17" s="31" t="s">
        <v>2</v>
      </c>
      <c r="C17" s="32"/>
      <c r="D17" s="17">
        <f>Rendimento_Carteira</f>
        <v>6.0000000000000001E-3</v>
      </c>
    </row>
    <row r="18" spans="1:4" s="3" customFormat="1" ht="16.2" thickBot="1" x14ac:dyDescent="0.35">
      <c r="B18" s="33" t="s">
        <v>3</v>
      </c>
      <c r="C18" s="34"/>
      <c r="D18" s="18">
        <f>FV(tx_mensal,qtd_anos*12,Aporte*-1)</f>
        <v>87501.504733170746</v>
      </c>
    </row>
    <row r="19" spans="1:4" s="3" customFormat="1" ht="16.2" thickBot="1" x14ac:dyDescent="0.35">
      <c r="B19" s="35" t="s">
        <v>4</v>
      </c>
      <c r="C19" s="36"/>
      <c r="D19" s="19">
        <f>patrimonio*tx_mensal</f>
        <v>525.00902839902449</v>
      </c>
    </row>
    <row r="21" spans="1:4" ht="15" thickBot="1" x14ac:dyDescent="0.35"/>
    <row r="22" spans="1:4" ht="25.8" customHeight="1" thickBot="1" x14ac:dyDescent="0.35">
      <c r="B22" s="6" t="s">
        <v>11</v>
      </c>
      <c r="C22" s="8"/>
      <c r="D22" s="9" t="s">
        <v>12</v>
      </c>
    </row>
    <row r="23" spans="1:4" ht="15" thickBot="1" x14ac:dyDescent="0.35">
      <c r="A23" s="7">
        <v>2</v>
      </c>
      <c r="B23" s="25" t="s">
        <v>6</v>
      </c>
      <c r="C23" s="20">
        <f>FV($D$17,$A23*12,$D$15*-1)</f>
        <v>12865.607682079208</v>
      </c>
      <c r="D23" s="21">
        <f>C23*tx_mensal</f>
        <v>77.193646092475248</v>
      </c>
    </row>
    <row r="24" spans="1:4" ht="15" thickBot="1" x14ac:dyDescent="0.35">
      <c r="A24" s="7">
        <v>5</v>
      </c>
      <c r="B24" s="26" t="s">
        <v>7</v>
      </c>
      <c r="C24" s="22">
        <f>FV($D$17,$A24*12,$D$15*-1)</f>
        <v>35982.367668429237</v>
      </c>
      <c r="D24" s="18">
        <f>C24*tx_mensal</f>
        <v>215.89420601057543</v>
      </c>
    </row>
    <row r="25" spans="1:4" ht="15" thickBot="1" x14ac:dyDescent="0.35">
      <c r="A25" s="7">
        <v>10</v>
      </c>
      <c r="B25" s="26" t="s">
        <v>8</v>
      </c>
      <c r="C25" s="22">
        <f>FV($D$17,$A25*12,$D$15*-1)</f>
        <v>87501.504733170746</v>
      </c>
      <c r="D25" s="18">
        <f>C25*tx_mensal</f>
        <v>525.00902839902449</v>
      </c>
    </row>
    <row r="26" spans="1:4" ht="15" thickBot="1" x14ac:dyDescent="0.35">
      <c r="A26" s="7">
        <v>20</v>
      </c>
      <c r="B26" s="26" t="s">
        <v>9</v>
      </c>
      <c r="C26" s="22">
        <f>FV($D$17,$A26*12,$D$15*-1)</f>
        <v>266881.16943317064</v>
      </c>
      <c r="D26" s="18">
        <f>C26*tx_mensal</f>
        <v>1601.2870165990239</v>
      </c>
    </row>
    <row r="27" spans="1:4" ht="15" thickBot="1" x14ac:dyDescent="0.35">
      <c r="A27" s="7">
        <v>30</v>
      </c>
      <c r="B27" s="27" t="s">
        <v>10</v>
      </c>
      <c r="C27" s="23">
        <f>FV($D$17,$A27*12,$D$15*-1)</f>
        <v>634612.72109054984</v>
      </c>
      <c r="D27" s="24">
        <f>C27*tx_mensal</f>
        <v>3807.6763265432992</v>
      </c>
    </row>
    <row r="28" spans="1:4" customFormat="1" x14ac:dyDescent="0.3">
      <c r="A28"/>
      <c r="B28" s="28"/>
      <c r="C28" s="4"/>
      <c r="D28"/>
    </row>
    <row r="29" spans="1:4" ht="15" thickBot="1" x14ac:dyDescent="0.35"/>
    <row r="30" spans="1:4" x14ac:dyDescent="0.3">
      <c r="B30" s="49" t="s">
        <v>19</v>
      </c>
      <c r="C30" s="62" t="s">
        <v>17</v>
      </c>
      <c r="D30" s="63"/>
    </row>
    <row r="31" spans="1:4" ht="15" thickBot="1" x14ac:dyDescent="0.35">
      <c r="B31" s="46" t="s">
        <v>18</v>
      </c>
      <c r="C31" s="47">
        <f>Aporte</f>
        <v>500</v>
      </c>
      <c r="D31" s="48"/>
    </row>
    <row r="33" spans="2:4" x14ac:dyDescent="0.3">
      <c r="B33" s="53" t="s">
        <v>20</v>
      </c>
      <c r="C33" s="51" t="s">
        <v>21</v>
      </c>
      <c r="D33" s="53" t="s">
        <v>22</v>
      </c>
    </row>
    <row r="34" spans="2:4" x14ac:dyDescent="0.3">
      <c r="B34" s="43" t="s">
        <v>28</v>
      </c>
      <c r="C34" s="44">
        <f>VLOOKUP($C$30&amp;" - "&amp;B34,Planilha2!A3:D20,4,FALSE)</f>
        <v>0.5</v>
      </c>
      <c r="D34" s="45">
        <f>C34*$C$31</f>
        <v>250</v>
      </c>
    </row>
    <row r="35" spans="2:4" x14ac:dyDescent="0.3">
      <c r="B35" s="43" t="s">
        <v>27</v>
      </c>
      <c r="C35" s="44">
        <f>VLOOKUP($C$30&amp;" - "&amp;B35,Planilha2!A4:D21,4,FALSE)</f>
        <v>0.1</v>
      </c>
      <c r="D35" s="45">
        <f>C35*$C$31</f>
        <v>50</v>
      </c>
    </row>
    <row r="36" spans="2:4" x14ac:dyDescent="0.3">
      <c r="B36" s="43" t="s">
        <v>26</v>
      </c>
      <c r="C36" s="44">
        <f>VLOOKUP($C$30&amp;" - "&amp;B36,Planilha2!A5:D22,4,FALSE)</f>
        <v>0.05</v>
      </c>
      <c r="D36" s="45">
        <f>C36*$C$31</f>
        <v>25</v>
      </c>
    </row>
    <row r="37" spans="2:4" x14ac:dyDescent="0.3">
      <c r="B37" s="43" t="s">
        <v>23</v>
      </c>
      <c r="C37" s="44">
        <f>VLOOKUP($C$30&amp;" - "&amp;B37,Planilha2!A6:D23,4,FALSE)</f>
        <v>0.05</v>
      </c>
      <c r="D37" s="45">
        <f>C37*$C$31</f>
        <v>25</v>
      </c>
    </row>
    <row r="38" spans="2:4" x14ac:dyDescent="0.3">
      <c r="B38" s="43" t="s">
        <v>24</v>
      </c>
      <c r="C38" s="44">
        <f>VLOOKUP($C$30&amp;" - "&amp;B38,Planilha2!A7:D24,4,FALSE)</f>
        <v>0.2</v>
      </c>
      <c r="D38" s="45">
        <f>C38*$C$31</f>
        <v>100</v>
      </c>
    </row>
    <row r="39" spans="2:4" x14ac:dyDescent="0.3">
      <c r="B39" s="43" t="s">
        <v>25</v>
      </c>
      <c r="C39" s="44">
        <f>VLOOKUP($C$30&amp;" - "&amp;B39,Planilha2!A8:D25,4,FALSE)</f>
        <v>0.1</v>
      </c>
      <c r="D39" s="45">
        <f>C39*$C$31</f>
        <v>50</v>
      </c>
    </row>
    <row r="40" spans="2:4" x14ac:dyDescent="0.3">
      <c r="B40" s="50" t="s">
        <v>29</v>
      </c>
      <c r="C40" s="51"/>
      <c r="D40" s="52">
        <f>SUM(D34:D39)</f>
        <v>500</v>
      </c>
    </row>
  </sheetData>
  <mergeCells count="13">
    <mergeCell ref="C31:D31"/>
    <mergeCell ref="B18:C18"/>
    <mergeCell ref="B19:C19"/>
    <mergeCell ref="B8:D8"/>
    <mergeCell ref="B14:D14"/>
    <mergeCell ref="C30:D30"/>
    <mergeCell ref="B22:C22"/>
    <mergeCell ref="B9:C9"/>
    <mergeCell ref="B10:C10"/>
    <mergeCell ref="B11:C11"/>
    <mergeCell ref="B15:C15"/>
    <mergeCell ref="B16:C16"/>
    <mergeCell ref="B17:C17"/>
  </mergeCells>
  <dataValidations count="1">
    <dataValidation type="list" allowBlank="1" showInputMessage="1" showErrorMessage="1" sqref="C30" xr:uid="{E8800181-6A16-44CF-A51F-E1D5D940B74D}">
      <formula1>"Conservador, Moderado, Agressivo,"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194C3-D42E-4415-AE58-BF29FA42240A}">
  <dimension ref="A2:D20"/>
  <sheetViews>
    <sheetView workbookViewId="0">
      <selection activeCell="F12" sqref="F12"/>
    </sheetView>
  </sheetViews>
  <sheetFormatPr defaultRowHeight="14.4" x14ac:dyDescent="0.3"/>
  <cols>
    <col min="1" max="1" width="29.5546875" bestFit="1" customWidth="1"/>
    <col min="2" max="2" width="11.21875" bestFit="1" customWidth="1"/>
    <col min="3" max="3" width="17.6640625" style="5" bestFit="1" customWidth="1"/>
    <col min="4" max="4" width="8.88671875" style="5"/>
  </cols>
  <sheetData>
    <row r="2" spans="1:4" x14ac:dyDescent="0.3">
      <c r="A2" t="s">
        <v>32</v>
      </c>
      <c r="B2" t="s">
        <v>19</v>
      </c>
      <c r="C2" s="5" t="s">
        <v>30</v>
      </c>
      <c r="D2" s="5" t="s">
        <v>34</v>
      </c>
    </row>
    <row r="3" spans="1:4" x14ac:dyDescent="0.3">
      <c r="A3" s="54" t="str">
        <f>B3&amp;" - "&amp;C3</f>
        <v>Conservador - PAPEL</v>
      </c>
      <c r="B3" s="54" t="s">
        <v>31</v>
      </c>
      <c r="C3" s="56" t="s">
        <v>28</v>
      </c>
      <c r="D3" s="57">
        <v>0.3</v>
      </c>
    </row>
    <row r="4" spans="1:4" x14ac:dyDescent="0.3">
      <c r="A4" s="54" t="str">
        <f t="shared" ref="A4:A20" si="0">B4&amp;" - "&amp;C4</f>
        <v>Conservador - TIJOLOS</v>
      </c>
      <c r="B4" s="54" t="s">
        <v>31</v>
      </c>
      <c r="C4" s="56" t="s">
        <v>27</v>
      </c>
      <c r="D4" s="57">
        <v>0.5</v>
      </c>
    </row>
    <row r="5" spans="1:4" x14ac:dyDescent="0.3">
      <c r="A5" s="54" t="str">
        <f t="shared" si="0"/>
        <v>Conservador - HIBRIDOS</v>
      </c>
      <c r="B5" s="54" t="s">
        <v>31</v>
      </c>
      <c r="C5" s="56" t="s">
        <v>26</v>
      </c>
      <c r="D5" s="57">
        <v>0.1</v>
      </c>
    </row>
    <row r="6" spans="1:4" x14ac:dyDescent="0.3">
      <c r="A6" s="54" t="str">
        <f t="shared" si="0"/>
        <v>Conservador - FOF'S</v>
      </c>
      <c r="B6" s="54" t="s">
        <v>31</v>
      </c>
      <c r="C6" s="56" t="s">
        <v>23</v>
      </c>
      <c r="D6" s="57">
        <v>0.1</v>
      </c>
    </row>
    <row r="7" spans="1:4" x14ac:dyDescent="0.3">
      <c r="A7" s="54" t="str">
        <f t="shared" si="0"/>
        <v>Conservador - DESENVOLVIMENTO</v>
      </c>
      <c r="B7" s="54" t="s">
        <v>31</v>
      </c>
      <c r="C7" s="56" t="s">
        <v>24</v>
      </c>
      <c r="D7" s="57">
        <v>0</v>
      </c>
    </row>
    <row r="8" spans="1:4" ht="15" thickBot="1" x14ac:dyDescent="0.35">
      <c r="A8" s="55" t="str">
        <f t="shared" si="0"/>
        <v>Conservador - HOTELARIAS</v>
      </c>
      <c r="B8" s="55" t="s">
        <v>31</v>
      </c>
      <c r="C8" s="58" t="s">
        <v>25</v>
      </c>
      <c r="D8" s="59">
        <v>0</v>
      </c>
    </row>
    <row r="9" spans="1:4" x14ac:dyDescent="0.3">
      <c r="A9" s="54" t="str">
        <f t="shared" si="0"/>
        <v>Moderado - PAPEL</v>
      </c>
      <c r="B9" s="54" t="s">
        <v>33</v>
      </c>
      <c r="C9" s="56" t="s">
        <v>28</v>
      </c>
      <c r="D9" s="57">
        <v>0.32</v>
      </c>
    </row>
    <row r="10" spans="1:4" x14ac:dyDescent="0.3">
      <c r="A10" s="54" t="str">
        <f t="shared" si="0"/>
        <v>Moderado - TIJOLOS</v>
      </c>
      <c r="B10" s="54" t="s">
        <v>33</v>
      </c>
      <c r="C10" s="56" t="s">
        <v>27</v>
      </c>
      <c r="D10" s="57">
        <v>0.4</v>
      </c>
    </row>
    <row r="11" spans="1:4" x14ac:dyDescent="0.3">
      <c r="A11" s="54" t="str">
        <f t="shared" si="0"/>
        <v>Moderado - HIBRIDOS</v>
      </c>
      <c r="B11" s="54" t="s">
        <v>33</v>
      </c>
      <c r="C11" s="56" t="s">
        <v>26</v>
      </c>
      <c r="D11" s="57">
        <v>0.08</v>
      </c>
    </row>
    <row r="12" spans="1:4" x14ac:dyDescent="0.3">
      <c r="A12" s="54" t="str">
        <f t="shared" si="0"/>
        <v>Moderado - FOF'S</v>
      </c>
      <c r="B12" s="54" t="s">
        <v>33</v>
      </c>
      <c r="C12" s="56" t="s">
        <v>23</v>
      </c>
      <c r="D12" s="57">
        <v>0.1</v>
      </c>
    </row>
    <row r="13" spans="1:4" x14ac:dyDescent="0.3">
      <c r="A13" s="54" t="str">
        <f t="shared" si="0"/>
        <v>Moderado - DESENVOLVIMENTO</v>
      </c>
      <c r="B13" s="54" t="s">
        <v>33</v>
      </c>
      <c r="C13" s="56" t="s">
        <v>24</v>
      </c>
      <c r="D13" s="57">
        <v>0.05</v>
      </c>
    </row>
    <row r="14" spans="1:4" ht="15" thickBot="1" x14ac:dyDescent="0.35">
      <c r="A14" s="55" t="str">
        <f t="shared" si="0"/>
        <v>Moderado - HOTELARIAS</v>
      </c>
      <c r="B14" s="55" t="s">
        <v>33</v>
      </c>
      <c r="C14" s="58" t="s">
        <v>25</v>
      </c>
      <c r="D14" s="59">
        <v>0.05</v>
      </c>
    </row>
    <row r="15" spans="1:4" x14ac:dyDescent="0.3">
      <c r="A15" s="54" t="str">
        <f t="shared" si="0"/>
        <v>Agressivo - PAPEL</v>
      </c>
      <c r="B15" s="54" t="s">
        <v>17</v>
      </c>
      <c r="C15" s="56" t="s">
        <v>28</v>
      </c>
      <c r="D15" s="57">
        <v>0.5</v>
      </c>
    </row>
    <row r="16" spans="1:4" x14ac:dyDescent="0.3">
      <c r="A16" s="54" t="str">
        <f t="shared" si="0"/>
        <v>Agressivo - TIJOLOS</v>
      </c>
      <c r="B16" s="54" t="s">
        <v>17</v>
      </c>
      <c r="C16" s="56" t="s">
        <v>27</v>
      </c>
      <c r="D16" s="57">
        <v>0.1</v>
      </c>
    </row>
    <row r="17" spans="1:4" x14ac:dyDescent="0.3">
      <c r="A17" s="54" t="str">
        <f t="shared" si="0"/>
        <v>Agressivo - HIBRIDOS</v>
      </c>
      <c r="B17" s="54" t="s">
        <v>17</v>
      </c>
      <c r="C17" s="56" t="s">
        <v>26</v>
      </c>
      <c r="D17" s="57">
        <v>0.05</v>
      </c>
    </row>
    <row r="18" spans="1:4" x14ac:dyDescent="0.3">
      <c r="A18" s="54" t="str">
        <f t="shared" si="0"/>
        <v>Agressivo - FOF'S</v>
      </c>
      <c r="B18" s="54" t="s">
        <v>17</v>
      </c>
      <c r="C18" s="56" t="s">
        <v>23</v>
      </c>
      <c r="D18" s="57">
        <v>0.05</v>
      </c>
    </row>
    <row r="19" spans="1:4" x14ac:dyDescent="0.3">
      <c r="A19" s="54" t="str">
        <f t="shared" si="0"/>
        <v>Agressivo - DESENVOLVIMENTO</v>
      </c>
      <c r="B19" s="54" t="s">
        <v>17</v>
      </c>
      <c r="C19" s="56" t="s">
        <v>24</v>
      </c>
      <c r="D19" s="57">
        <v>0.2</v>
      </c>
    </row>
    <row r="20" spans="1:4" ht="15" thickBot="1" x14ac:dyDescent="0.35">
      <c r="A20" s="55" t="str">
        <f t="shared" si="0"/>
        <v>Agressivo - HOTELARIAS</v>
      </c>
      <c r="B20" s="55" t="s">
        <v>17</v>
      </c>
      <c r="C20" s="58" t="s">
        <v>25</v>
      </c>
      <c r="D20" s="5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tx_mensal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Bianca A Lima Ramos</dc:creator>
  <cp:lastModifiedBy>Bianca A Lima Ramos</cp:lastModifiedBy>
  <dcterms:created xsi:type="dcterms:W3CDTF">2026-01-04T15:05:21Z</dcterms:created>
  <dcterms:modified xsi:type="dcterms:W3CDTF">2026-01-04T18:24:36Z</dcterms:modified>
</cp:coreProperties>
</file>